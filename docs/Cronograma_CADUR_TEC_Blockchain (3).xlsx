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or (20h)" sheetId="1" r:id="rId5"/>
    <sheet state="visible" name="Programador (40h)" sheetId="2" r:id="rId6"/>
    <sheet state="visible" name="Resumen General" sheetId="3" r:id="rId7"/>
  </sheets>
  <definedNames/>
  <calcPr/>
</workbook>
</file>

<file path=xl/sharedStrings.xml><?xml version="1.0" encoding="utf-8"?>
<sst xmlns="http://schemas.openxmlformats.org/spreadsheetml/2006/main" count="253" uniqueCount="133">
  <si>
    <t>CADUR-TEC | Cronograma Consultor - 20 horas</t>
  </si>
  <si>
    <t>Período: 5 Feb - 30 May 2025  |  Compromiso: reunión de avance 30 min/semana + entregables de arquitectura y documentación técnica</t>
  </si>
  <si>
    <t>#</t>
  </si>
  <si>
    <t>Entregable / Actividad</t>
  </si>
  <si>
    <t>Horas</t>
  </si>
  <si>
    <t>Tipo</t>
  </si>
  <si>
    <t>3 Feb - 7 Feb</t>
  </si>
  <si>
    <t>10 Feb - 14 Feb</t>
  </si>
  <si>
    <t>17 Feb - 21 Feb</t>
  </si>
  <si>
    <t>24 Feb - 28 Feb</t>
  </si>
  <si>
    <t>3 Mar - 7 Mar</t>
  </si>
  <si>
    <t>10 Mar - 14 Mar</t>
  </si>
  <si>
    <t>17 Mar - 21 Mar</t>
  </si>
  <si>
    <t>24 Mar - 28 Mar</t>
  </si>
  <si>
    <t>31 Mar - 4 Abr</t>
  </si>
  <si>
    <t>7 Abr - 11 Abr</t>
  </si>
  <si>
    <t>14 Abr - 18 Abr</t>
  </si>
  <si>
    <t>21 Abr - 25 Abr</t>
  </si>
  <si>
    <t>28 Abr - 2 May</t>
  </si>
  <si>
    <t>5 May - 9 May</t>
  </si>
  <si>
    <t>12 May - 16 May</t>
  </si>
  <si>
    <t>19 May - 23 May</t>
  </si>
  <si>
    <t>26 May - 30 May</t>
  </si>
  <si>
    <t>Reunión de avance semanal (30 min)  Agrego reuniones extras sostenidas</t>
  </si>
  <si>
    <t>Reunión</t>
  </si>
  <si>
    <t>30m</t>
  </si>
  <si>
    <t>Kick-off y alineación metodológica</t>
  </si>
  <si>
    <t>Sesión</t>
  </si>
  <si>
    <t>Revisión requerimientos logísticos con equipo</t>
  </si>
  <si>
    <t>Revisión</t>
  </si>
  <si>
    <t>Diseño arquitectura Blockchain (Hyperledger Fabric)</t>
  </si>
  <si>
    <t>Entregable</t>
  </si>
  <si>
    <t>Documento Discovery Phase v1.0</t>
  </si>
  <si>
    <t>Documento Técnico de Infraestructura v1.0</t>
  </si>
  <si>
    <t>Revisión y validación de avances técnicos del programador</t>
  </si>
  <si>
    <t>Revisión documento Discovery Phase v2.0 (ajustes)</t>
  </si>
  <si>
    <t>Documento Infraestructura versión final</t>
  </si>
  <si>
    <t>Revisión final y cierre técnico</t>
  </si>
  <si>
    <t>Cierre</t>
  </si>
  <si>
    <t>TOTAL HORAS CONSULTOR</t>
  </si>
  <si>
    <t>Leyenda:</t>
  </si>
  <si>
    <t>CADUR-TEC | Cronograma Programador / Implementador Blockchain - 40 horas</t>
  </si>
  <si>
    <t>Período: 5 Feb - 30 May 2025  |  Incluye: programación, formularios, puesta en marcha y manual de usuario</t>
  </si>
  <si>
    <t>[Análisis] Reunión kick-off - levantamiento de requerimientos con consultor</t>
  </si>
  <si>
    <t>Análisis</t>
  </si>
  <si>
    <t>▪</t>
  </si>
  <si>
    <t>[Análisis] Análisis funcional: flujos de trazabilidad logística portuaria</t>
  </si>
  <si>
    <t>[Entorno] Configuración entorno de desarrollo: Docker, Node.js, Git</t>
  </si>
  <si>
    <t>Entorno</t>
  </si>
  <si>
    <t>[Entorno] Instalación y configuración Hyperledger Fabric (test-network)</t>
  </si>
  <si>
    <t>[Blockchain] Definición y codificación Chaincode - contrato inteligente trazabilidad</t>
  </si>
  <si>
    <t>Blockchain</t>
  </si>
  <si>
    <t>[Blockchain] Configuración canales, peers y orderer nodes en red permissioned</t>
  </si>
  <si>
    <t>[Blockchain] Implementación Fabric CA (Certificate Authority)</t>
  </si>
  <si>
    <t>[Backend] Desarrollo API Gateway (Node.js / Fabric SDK) - endpoints CRUD</t>
  </si>
  <si>
    <t>Backend</t>
  </si>
  <si>
    <t>[Backend] Integración base de datos (CouchDB / PostgreSQL) con estado del ledger</t>
  </si>
  <si>
    <t>[Backend] Autenticación y control de acceso por roles (admin, operador, auditor)</t>
  </si>
  <si>
    <t>[Frontend] Desarrollo dashboard de monitoreo (React/Vue) - panel principal</t>
  </si>
  <si>
    <t>Frontend</t>
  </si>
  <si>
    <t>[Frontend] Vistas: registro de evento logístico, consulta de trazabilidad, historial</t>
  </si>
  <si>
    <t>[Formularios] Consecución y maquetación de formularios oficiales de la U. Católica Luis Amigó</t>
  </si>
  <si>
    <t>Formularios</t>
  </si>
  <si>
    <t>[Formularios] Integración de formularios al flujo blockchain (registro de transacciones)</t>
  </si>
  <si>
    <t xml:space="preserve">[Pruebas] Pruebas unitarias e integración: chaincode, API, frontend </t>
  </si>
  <si>
    <t>Pruebas</t>
  </si>
  <si>
    <t>[Pruebas] Pruebas de carga y validación en entorno staging</t>
  </si>
  <si>
    <t>[Puesta en marcha] Migración a entorno de producción en servidores universidad</t>
  </si>
  <si>
    <t>Puesta en marcha</t>
  </si>
  <si>
    <t>[Puesta en marcha] Configuración firewall, VPN y segmentación VLAN en red producción</t>
  </si>
  <si>
    <t>[Documentación] Manual de usuario - guía operativa y de administración del sistema</t>
  </si>
  <si>
    <t>Documentación</t>
  </si>
  <si>
    <t>[Documentación] Manual técnico de instalación, configuración y mantenimiento</t>
  </si>
  <si>
    <t>[Cierre] Revisión final con consultor, ajustes y entrega de artefactos digitales</t>
  </si>
  <si>
    <t>[Cierre] Demostración ante equipo CADUR-TEC y comunidad académica</t>
  </si>
  <si>
    <t>TOTAL HORAS PROGRAMADOR</t>
  </si>
  <si>
    <t>Fases:</t>
  </si>
  <si>
    <t>CADUR-TEC | Resumen Ejecutivo del Cronograma - Simulación Blockchain</t>
  </si>
  <si>
    <t>Recurso</t>
  </si>
  <si>
    <t>Perfil</t>
  </si>
  <si>
    <t>Horas asignadas</t>
  </si>
  <si>
    <t>Período</t>
  </si>
  <si>
    <t>Entregables clave</t>
  </si>
  <si>
    <t>Observaciones</t>
  </si>
  <si>
    <t>Consultor Internacional</t>
  </si>
  <si>
    <t>Arquitecto / Experto Blockchain</t>
  </si>
  <si>
    <t>20 h</t>
  </si>
  <si>
    <t>5 Feb - 30 May 2025</t>
  </si>
  <si>
    <t>Diseño arquitectura, Discovery Phase, Doc. Infraestructura</t>
  </si>
  <si>
    <t>30 min de reunión de avance por semana</t>
  </si>
  <si>
    <t>Programador / Implementador</t>
  </si>
  <si>
    <t>Desarrollador Full-Stack Blockchain</t>
  </si>
  <si>
    <t>40 h</t>
  </si>
  <si>
    <t>Chaincode, API, Dashboard, Formularios, Puesta en marcha, Manuales</t>
  </si>
  <si>
    <t>Ciclos iterativos de entrega</t>
  </si>
  <si>
    <t>TOTAL PROYECTO</t>
  </si>
  <si>
    <t>60 h</t>
  </si>
  <si>
    <t>HITOS CLAVE DEL PROYECTO</t>
  </si>
  <si>
    <t>Semana</t>
  </si>
  <si>
    <t>Hito</t>
  </si>
  <si>
    <t>Responsable</t>
  </si>
  <si>
    <t>Fecha estimada</t>
  </si>
  <si>
    <t>Semana 1-2</t>
  </si>
  <si>
    <t>Kick-off y levantamiento de requerimientos</t>
  </si>
  <si>
    <t>Ambos</t>
  </si>
  <si>
    <t>Feb 2025</t>
  </si>
  <si>
    <t>Semana 3-4</t>
  </si>
  <si>
    <t>Entorno Hyperledger Fabric operativo</t>
  </si>
  <si>
    <t>Programador</t>
  </si>
  <si>
    <t>Feb-Mar 2025</t>
  </si>
  <si>
    <t>Semana 5-7</t>
  </si>
  <si>
    <t>Discovery Phase v1.0 entregada</t>
  </si>
  <si>
    <t>Consultor</t>
  </si>
  <si>
    <t>Mar 2025</t>
  </si>
  <si>
    <t>Semana 7-10</t>
  </si>
  <si>
    <t>Documento Técnico Infraestructura v1.0</t>
  </si>
  <si>
    <t>Mar-Abr 2025</t>
  </si>
  <si>
    <t>Semana 7-9</t>
  </si>
  <si>
    <t>API Gateway y backend funcional</t>
  </si>
  <si>
    <t>Semana 10-12</t>
  </si>
  <si>
    <t>Dashboard frontend operativo</t>
  </si>
  <si>
    <t>Abr 2025</t>
  </si>
  <si>
    <t>Semana 12-14</t>
  </si>
  <si>
    <t>Formularios integrados al sistema</t>
  </si>
  <si>
    <t>Abr-May 2025</t>
  </si>
  <si>
    <t>Semana 14-16</t>
  </si>
  <si>
    <t>Pruebas completas y puesta en marcha</t>
  </si>
  <si>
    <t>May 2025</t>
  </si>
  <si>
    <t>Semana 16-17</t>
  </si>
  <si>
    <t>Manuales usuario y técnico</t>
  </si>
  <si>
    <t>Semana 17</t>
  </si>
  <si>
    <t>Cierre, entrega final y demo</t>
  </si>
  <si>
    <t>30 May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</si>
</sst>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1F3864"/>
      <name val="Arial"/>
    </font>
    <font>
      <b/>
      <sz val="9.0"/>
      <color rgb="FFFFFFFF"/>
      <name val="Arial"/>
    </font>
    <font>
      <b/>
      <sz val="7.0"/>
      <color rgb="FFFFFFFF"/>
      <name val="Arial"/>
    </font>
    <font>
      <sz val="9.0"/>
      <color rgb="FF000000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9.0"/>
      <color theme="1"/>
      <name val="Arial"/>
    </font>
    <font>
      <b/>
      <sz val="8.0"/>
      <color rgb="FFFFFFFF"/>
      <name val="Arial"/>
    </font>
    <font>
      <b/>
      <sz val="8.0"/>
      <color rgb="FF000000"/>
      <name val="Arial"/>
    </font>
    <font>
      <b/>
      <sz val="11.0"/>
      <color rgb="FFFFFF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AEEF3"/>
        <bgColor rgb="FFDAEEF3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D7D31"/>
        <bgColor rgb="FFED7D31"/>
      </patternFill>
    </fill>
    <fill>
      <patternFill patternType="solid">
        <fgColor rgb="FFF4CCFF"/>
        <bgColor rgb="FFF4CCFF"/>
      </patternFill>
    </fill>
    <fill>
      <patternFill patternType="solid">
        <fgColor rgb="FF9933FF"/>
        <bgColor rgb="FF9933FF"/>
      </patternFill>
    </fill>
    <fill>
      <patternFill patternType="solid">
        <fgColor rgb="FFEAD1DC"/>
        <bgColor rgb="FFEAD1DC"/>
      </patternFill>
    </fill>
    <fill>
      <patternFill patternType="solid">
        <fgColor rgb="FFC00000"/>
        <bgColor rgb="FFC00000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CFE2F3"/>
        <bgColor rgb="FFCFE2F3"/>
      </patternFill>
    </fill>
    <fill>
      <patternFill patternType="solid">
        <fgColor rgb="FF1155CC"/>
        <bgColor rgb="FF1155CC"/>
      </patternFill>
    </fill>
    <fill>
      <patternFill patternType="solid">
        <fgColor rgb="FFFFF0E0"/>
        <bgColor rgb="FFFFF0E0"/>
      </patternFill>
    </fill>
    <fill>
      <patternFill patternType="solid">
        <fgColor rgb="FFB45F06"/>
        <bgColor rgb="FFB45F06"/>
      </patternFill>
    </fill>
    <fill>
      <patternFill patternType="solid">
        <fgColor rgb="FFE6E6E6"/>
        <bgColor rgb="FFE6E6E6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4" fillId="7" fontId="6" numFmtId="0" xfId="0" applyAlignment="1" applyBorder="1" applyFill="1" applyFont="1">
      <alignment horizontal="center" shrinkToFit="0" vertical="center" wrapText="0"/>
    </xf>
    <xf borderId="4" fillId="7" fontId="6" numFmtId="0" xfId="0" applyAlignment="1" applyBorder="1" applyFont="1">
      <alignment horizontal="left" shrinkToFit="0" vertical="center" wrapText="1"/>
    </xf>
    <xf borderId="4" fillId="8" fontId="7" numFmtId="0" xfId="0" applyAlignment="1" applyBorder="1" applyFill="1" applyFont="1">
      <alignment shrinkToFit="0" vertical="bottom" wrapText="0"/>
    </xf>
    <xf borderId="4" fillId="9" fontId="7" numFmtId="0" xfId="0" applyAlignment="1" applyBorder="1" applyFill="1" applyFont="1">
      <alignment shrinkToFit="0" vertical="bottom" wrapText="0"/>
    </xf>
    <xf borderId="4" fillId="10" fontId="6" numFmtId="0" xfId="0" applyAlignment="1" applyBorder="1" applyFill="1" applyFont="1">
      <alignment horizontal="center" shrinkToFit="0" vertical="center" wrapText="0"/>
    </xf>
    <xf borderId="4" fillId="10" fontId="6" numFmtId="0" xfId="0" applyAlignment="1" applyBorder="1" applyFont="1">
      <alignment horizontal="left" shrinkToFit="0" vertical="center" wrapText="1"/>
    </xf>
    <xf borderId="4" fillId="11" fontId="7" numFmtId="0" xfId="0" applyAlignment="1" applyBorder="1" applyFill="1" applyFont="1">
      <alignment shrinkToFit="0" vertical="bottom" wrapText="0"/>
    </xf>
    <xf borderId="4" fillId="3" fontId="6" numFmtId="0" xfId="0" applyAlignment="1" applyBorder="1" applyFont="1">
      <alignment horizontal="center" shrinkToFit="0" vertical="center" wrapText="0"/>
    </xf>
    <xf borderId="4" fillId="3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shrinkToFit="0" vertical="bottom" wrapText="0"/>
    </xf>
    <xf borderId="4" fillId="12" fontId="6" numFmtId="0" xfId="0" applyAlignment="1" applyBorder="1" applyFill="1" applyFont="1">
      <alignment horizontal="center" shrinkToFit="0" vertical="center" wrapText="0"/>
    </xf>
    <xf borderId="4" fillId="12" fontId="6" numFmtId="0" xfId="0" applyAlignment="1" applyBorder="1" applyFont="1">
      <alignment horizontal="left" shrinkToFit="0" vertical="center" wrapText="1"/>
    </xf>
    <xf borderId="4" fillId="13" fontId="7" numFmtId="0" xfId="0" applyAlignment="1" applyBorder="1" applyFill="1" applyFont="1">
      <alignment shrinkToFit="0" vertical="bottom" wrapText="0"/>
    </xf>
    <xf borderId="1" fillId="2" fontId="8" numFmtId="0" xfId="0" applyAlignment="1" applyBorder="1" applyFont="1">
      <alignment horizontal="right" shrinkToFit="0" vertical="center" wrapText="1"/>
    </xf>
    <xf borderId="4" fillId="2" fontId="8" numFmtId="0" xfId="0" applyAlignment="1" applyBorder="1" applyFont="1">
      <alignment horizontal="center" shrinkToFit="0" vertical="center" wrapText="0"/>
    </xf>
    <xf borderId="4" fillId="2" fontId="7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6" fontId="10" numFmtId="0" xfId="0" applyAlignment="1" applyBorder="1" applyFont="1">
      <alignment horizontal="center" shrinkToFit="0" vertical="center" wrapText="0"/>
    </xf>
    <xf borderId="4" fillId="8" fontId="10" numFmtId="0" xfId="0" applyAlignment="1" applyBorder="1" applyFont="1">
      <alignment horizontal="center" shrinkToFit="0" vertical="center" wrapText="0"/>
    </xf>
    <xf borderId="4" fillId="11" fontId="10" numFmtId="0" xfId="0" applyAlignment="1" applyBorder="1" applyFon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0"/>
    </xf>
    <xf borderId="4" fillId="13" fontId="10" numFmtId="0" xfId="0" applyAlignment="1" applyBorder="1" applyFont="1">
      <alignment horizontal="center" shrinkToFit="0" vertical="center" wrapText="0"/>
    </xf>
    <xf borderId="4" fillId="7" fontId="6" numFmtId="0" xfId="0" applyAlignment="1" applyBorder="1" applyFont="1">
      <alignment horizontal="left" readingOrder="0" shrinkToFit="0" vertical="center" wrapText="1"/>
    </xf>
    <xf borderId="4" fillId="7" fontId="11" numFmtId="0" xfId="0" applyAlignment="1" applyBorder="1" applyFont="1">
      <alignment horizontal="center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5" fontId="6" numFmtId="0" xfId="0" applyAlignment="1" applyBorder="1" applyFont="1">
      <alignment horizontal="left" shrinkToFit="0" vertical="center" wrapText="1"/>
    </xf>
    <xf borderId="4" fillId="5" fontId="11" numFmtId="0" xfId="0" applyAlignment="1" applyBorder="1" applyFont="1">
      <alignment horizontal="center" shrinkToFit="0" vertical="center" wrapText="0"/>
    </xf>
    <xf borderId="4" fillId="6" fontId="8" numFmtId="0" xfId="0" applyAlignment="1" applyBorder="1" applyFont="1">
      <alignment horizontal="center" shrinkToFit="0" vertical="center" wrapText="0"/>
    </xf>
    <xf borderId="4" fillId="3" fontId="6" numFmtId="0" xfId="0" applyAlignment="1" applyBorder="1" applyFont="1">
      <alignment horizontal="left" readingOrder="0" shrinkToFit="0" vertical="center" wrapText="1"/>
    </xf>
    <xf borderId="4" fillId="3" fontId="11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center" shrinkToFit="0" vertical="center" wrapText="0"/>
    </xf>
    <xf borderId="4" fillId="10" fontId="6" numFmtId="0" xfId="0" applyAlignment="1" applyBorder="1" applyFont="1">
      <alignment horizontal="left" readingOrder="0" shrinkToFit="0" vertical="center" wrapText="1"/>
    </xf>
    <xf borderId="4" fillId="10" fontId="11" numFmtId="0" xfId="0" applyAlignment="1" applyBorder="1" applyFont="1">
      <alignment horizontal="center" shrinkToFit="0" vertical="center" wrapText="0"/>
    </xf>
    <xf borderId="4" fillId="11" fontId="8" numFmtId="0" xfId="0" applyAlignment="1" applyBorder="1" applyFont="1">
      <alignment horizontal="center" shrinkToFit="0" vertical="center" wrapText="0"/>
    </xf>
    <xf borderId="4" fillId="14" fontId="6" numFmtId="0" xfId="0" applyAlignment="1" applyBorder="1" applyFill="1" applyFont="1">
      <alignment horizontal="center" shrinkToFit="0" vertical="center" wrapText="0"/>
    </xf>
    <xf borderId="4" fillId="14" fontId="6" numFmtId="0" xfId="0" applyAlignment="1" applyBorder="1" applyFont="1">
      <alignment horizontal="left" readingOrder="0" shrinkToFit="0" vertical="center" wrapText="1"/>
    </xf>
    <xf borderId="4" fillId="14" fontId="11" numFmtId="0" xfId="0" applyAlignment="1" applyBorder="1" applyFont="1">
      <alignment horizontal="center" shrinkToFit="0" vertical="center" wrapText="0"/>
    </xf>
    <xf borderId="4" fillId="15" fontId="8" numFmtId="0" xfId="0" applyAlignment="1" applyBorder="1" applyFill="1" applyFont="1">
      <alignment horizontal="center" shrinkToFit="0" vertical="center" wrapText="0"/>
    </xf>
    <xf borderId="4" fillId="14" fontId="6" numFmtId="0" xfId="0" applyAlignment="1" applyBorder="1" applyFont="1">
      <alignment horizontal="left" shrinkToFit="0" vertical="center" wrapText="1"/>
    </xf>
    <xf borderId="4" fillId="16" fontId="6" numFmtId="0" xfId="0" applyAlignment="1" applyBorder="1" applyFill="1" applyFont="1">
      <alignment horizontal="center" shrinkToFit="0" vertical="center" wrapText="0"/>
    </xf>
    <xf borderId="4" fillId="16" fontId="6" numFmtId="0" xfId="0" applyAlignment="1" applyBorder="1" applyFont="1">
      <alignment horizontal="left" shrinkToFit="0" vertical="center" wrapText="1"/>
    </xf>
    <xf borderId="4" fillId="16" fontId="11" numFmtId="0" xfId="0" applyAlignment="1" applyBorder="1" applyFont="1">
      <alignment horizontal="center" shrinkToFit="0" vertical="center" wrapText="0"/>
    </xf>
    <xf borderId="4" fillId="17" fontId="8" numFmtId="0" xfId="0" applyAlignment="1" applyBorder="1" applyFill="1" applyFont="1">
      <alignment horizontal="center" shrinkToFit="0" vertical="center" wrapText="0"/>
    </xf>
    <xf borderId="4" fillId="18" fontId="6" numFmtId="0" xfId="0" applyAlignment="1" applyBorder="1" applyFill="1" applyFont="1">
      <alignment horizontal="center" shrinkToFit="0" vertical="center" wrapText="0"/>
    </xf>
    <xf borderId="4" fillId="18" fontId="6" numFmtId="0" xfId="0" applyAlignment="1" applyBorder="1" applyFont="1">
      <alignment horizontal="left" readingOrder="0" shrinkToFit="0" vertical="center" wrapText="1"/>
    </xf>
    <xf borderId="4" fillId="18" fontId="11" numFmtId="0" xfId="0" applyAlignment="1" applyBorder="1" applyFont="1">
      <alignment horizontal="center" shrinkToFit="0" vertical="center" wrapText="0"/>
    </xf>
    <xf borderId="4" fillId="19" fontId="8" numFmtId="0" xfId="0" applyAlignment="1" applyBorder="1" applyFill="1" applyFont="1">
      <alignment horizontal="center" shrinkToFit="0" vertical="center" wrapText="0"/>
    </xf>
    <xf borderId="4" fillId="18" fontId="6" numFmtId="0" xfId="0" applyAlignment="1" applyBorder="1" applyFont="1">
      <alignment horizontal="left" shrinkToFit="0" vertical="center" wrapText="1"/>
    </xf>
    <xf borderId="4" fillId="12" fontId="11" numFmtId="0" xfId="0" applyAlignment="1" applyBorder="1" applyFont="1">
      <alignment horizontal="center" shrinkToFit="0" vertical="center" wrapText="0"/>
    </xf>
    <xf borderId="4" fillId="13" fontId="8" numFmtId="0" xfId="0" applyAlignment="1" applyBorder="1" applyFont="1">
      <alignment horizontal="center" shrinkToFit="0" vertical="center" wrapText="0"/>
    </xf>
    <xf borderId="4" fillId="20" fontId="6" numFmtId="0" xfId="0" applyAlignment="1" applyBorder="1" applyFill="1" applyFont="1">
      <alignment horizontal="center" shrinkToFit="0" vertical="center" wrapText="0"/>
    </xf>
    <xf borderId="4" fillId="20" fontId="6" numFmtId="0" xfId="0" applyAlignment="1" applyBorder="1" applyFont="1">
      <alignment horizontal="left" readingOrder="0" shrinkToFit="0" vertical="center" wrapText="1"/>
    </xf>
    <xf borderId="4" fillId="20" fontId="11" numFmtId="0" xfId="0" applyAlignment="1" applyBorder="1" applyFont="1">
      <alignment horizontal="center" shrinkToFit="0" vertical="center" wrapText="0"/>
    </xf>
    <xf borderId="4" fillId="21" fontId="8" numFmtId="0" xfId="0" applyAlignment="1" applyBorder="1" applyFill="1" applyFont="1">
      <alignment horizontal="center" shrinkToFit="0" vertical="center" wrapText="0"/>
    </xf>
    <xf borderId="4" fillId="20" fontId="6" numFmtId="0" xfId="0" applyAlignment="1" applyBorder="1" applyFont="1">
      <alignment horizontal="left" shrinkToFit="0" vertical="center" wrapText="1"/>
    </xf>
    <xf borderId="4" fillId="22" fontId="6" numFmtId="0" xfId="0" applyAlignment="1" applyBorder="1" applyFill="1" applyFont="1">
      <alignment horizontal="center" shrinkToFit="0" vertical="center" wrapText="0"/>
    </xf>
    <xf borderId="4" fillId="22" fontId="6" numFmtId="0" xfId="0" applyAlignment="1" applyBorder="1" applyFont="1">
      <alignment horizontal="left" shrinkToFit="0" vertical="center" wrapText="1"/>
    </xf>
    <xf borderId="4" fillId="22" fontId="11" numFmtId="0" xfId="0" applyAlignment="1" applyBorder="1" applyFont="1">
      <alignment horizontal="center" shrinkToFit="0" vertical="center" wrapText="0"/>
    </xf>
    <xf borderId="4" fillId="23" fontId="8" numFmtId="0" xfId="0" applyAlignment="1" applyBorder="1" applyFill="1" applyFont="1">
      <alignment horizontal="center" shrinkToFit="0" vertical="center" wrapText="0"/>
    </xf>
    <xf borderId="4" fillId="15" fontId="10" numFmtId="0" xfId="0" applyAlignment="1" applyBorder="1" applyFont="1">
      <alignment horizontal="center" shrinkToFit="0" vertical="center" wrapText="0"/>
    </xf>
    <xf borderId="4" fillId="17" fontId="10" numFmtId="0" xfId="0" applyAlignment="1" applyBorder="1" applyFont="1">
      <alignment horizontal="center" shrinkToFit="0" vertical="center" wrapText="0"/>
    </xf>
    <xf borderId="4" fillId="19" fontId="10" numFmtId="0" xfId="0" applyAlignment="1" applyBorder="1" applyFont="1">
      <alignment horizontal="center" shrinkToFit="0" vertical="center" wrapText="0"/>
    </xf>
    <xf borderId="4" fillId="21" fontId="10" numFmtId="0" xfId="0" applyAlignment="1" applyBorder="1" applyFont="1">
      <alignment horizontal="center" shrinkToFit="0" vertical="center" wrapText="0"/>
    </xf>
    <xf borderId="4" fillId="23" fontId="10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readingOrder="0" shrinkToFit="0" vertical="center" wrapText="0"/>
    </xf>
    <xf borderId="1" fillId="4" fontId="12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0"/>
    </xf>
    <xf borderId="4" fillId="24" fontId="6" numFmtId="0" xfId="0" applyAlignment="1" applyBorder="1" applyFill="1" applyFont="1">
      <alignment horizontal="left" readingOrder="0" shrinkToFit="0" vertical="center" wrapText="1"/>
    </xf>
    <xf borderId="4" fillId="24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9" fontId="6" numFmtId="0" xfId="0" applyAlignment="1" applyBorder="1" applyFont="1">
      <alignment horizontal="left" readingOrder="0" shrinkToFit="0" vertical="center" wrapText="1"/>
    </xf>
    <xf borderId="4" fillId="9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3" width="7.0"/>
    <col customWidth="1" min="4" max="4" width="11.0"/>
    <col customWidth="1" min="5" max="21" width="9.0"/>
    <col customWidth="1" min="2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39.75" customHeight="1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</row>
    <row r="4" ht="21.75" customHeight="1">
      <c r="A4" s="7">
        <v>1.0</v>
      </c>
      <c r="B4" s="8" t="s">
        <v>23</v>
      </c>
      <c r="C4" s="9">
        <v>1.0</v>
      </c>
      <c r="D4" s="7" t="s">
        <v>24</v>
      </c>
      <c r="E4" s="10" t="s">
        <v>25</v>
      </c>
      <c r="F4" s="10" t="s">
        <v>25</v>
      </c>
      <c r="G4" s="10" t="s">
        <v>25</v>
      </c>
      <c r="H4" s="10" t="s">
        <v>25</v>
      </c>
      <c r="I4" s="10" t="s">
        <v>25</v>
      </c>
      <c r="J4" s="10" t="s">
        <v>25</v>
      </c>
      <c r="K4" s="10" t="s">
        <v>25</v>
      </c>
      <c r="L4" s="10" t="s">
        <v>25</v>
      </c>
      <c r="M4" s="10" t="s">
        <v>25</v>
      </c>
      <c r="N4" s="10" t="s">
        <v>25</v>
      </c>
      <c r="O4" s="10" t="s">
        <v>25</v>
      </c>
      <c r="P4" s="10" t="s">
        <v>25</v>
      </c>
      <c r="Q4" s="10" t="s">
        <v>25</v>
      </c>
      <c r="R4" s="10" t="s">
        <v>25</v>
      </c>
      <c r="S4" s="10" t="s">
        <v>25</v>
      </c>
      <c r="T4" s="10" t="s">
        <v>25</v>
      </c>
      <c r="U4" s="10" t="s">
        <v>25</v>
      </c>
    </row>
    <row r="5" ht="21.75" customHeight="1">
      <c r="A5" s="11">
        <v>2.0</v>
      </c>
      <c r="B5" s="12" t="s">
        <v>26</v>
      </c>
      <c r="C5" s="11">
        <v>1.0</v>
      </c>
      <c r="D5" s="11" t="s">
        <v>27</v>
      </c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ht="21.75" customHeight="1">
      <c r="A6" s="15">
        <v>3.0</v>
      </c>
      <c r="B6" s="16" t="s">
        <v>28</v>
      </c>
      <c r="C6" s="15">
        <v>1.0</v>
      </c>
      <c r="D6" s="15" t="s">
        <v>29</v>
      </c>
      <c r="E6" s="14"/>
      <c r="F6" s="17"/>
      <c r="G6" s="17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ht="21.75" customHeight="1">
      <c r="A7" s="18">
        <v>4.0</v>
      </c>
      <c r="B7" s="19" t="s">
        <v>30</v>
      </c>
      <c r="C7" s="18">
        <v>3.0</v>
      </c>
      <c r="D7" s="18" t="s">
        <v>31</v>
      </c>
      <c r="E7" s="14"/>
      <c r="F7" s="14"/>
      <c r="G7" s="20"/>
      <c r="H7" s="20"/>
      <c r="I7" s="2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ht="21.75" customHeight="1">
      <c r="A8" s="18">
        <v>5.0</v>
      </c>
      <c r="B8" s="19" t="s">
        <v>32</v>
      </c>
      <c r="C8" s="18">
        <v>4.0</v>
      </c>
      <c r="D8" s="18" t="s">
        <v>31</v>
      </c>
      <c r="E8" s="14"/>
      <c r="F8" s="14"/>
      <c r="G8" s="14"/>
      <c r="H8" s="14"/>
      <c r="I8" s="20"/>
      <c r="J8" s="20"/>
      <c r="K8" s="20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ht="21.75" customHeight="1">
      <c r="A9" s="18">
        <v>6.0</v>
      </c>
      <c r="B9" s="19" t="s">
        <v>33</v>
      </c>
      <c r="C9" s="18">
        <v>4.0</v>
      </c>
      <c r="D9" s="18" t="s">
        <v>31</v>
      </c>
      <c r="E9" s="14"/>
      <c r="F9" s="14"/>
      <c r="G9" s="14"/>
      <c r="H9" s="14"/>
      <c r="I9" s="14"/>
      <c r="J9" s="14"/>
      <c r="K9" s="20"/>
      <c r="L9" s="20"/>
      <c r="M9" s="20"/>
      <c r="N9" s="20"/>
      <c r="O9" s="14"/>
      <c r="P9" s="14"/>
      <c r="Q9" s="14"/>
      <c r="R9" s="14"/>
      <c r="S9" s="14"/>
      <c r="T9" s="14"/>
      <c r="U9" s="14"/>
    </row>
    <row r="10" ht="21.75" customHeight="1">
      <c r="A10" s="15">
        <v>7.0</v>
      </c>
      <c r="B10" s="16" t="s">
        <v>34</v>
      </c>
      <c r="C10" s="15">
        <v>2.0</v>
      </c>
      <c r="D10" s="15" t="s">
        <v>29</v>
      </c>
      <c r="E10" s="14"/>
      <c r="F10" s="14"/>
      <c r="G10" s="14"/>
      <c r="H10" s="14"/>
      <c r="I10" s="14"/>
      <c r="J10" s="14"/>
      <c r="K10" s="14"/>
      <c r="L10" s="17"/>
      <c r="M10" s="14"/>
      <c r="N10" s="17"/>
      <c r="O10" s="14"/>
      <c r="P10" s="17"/>
      <c r="Q10" s="14"/>
      <c r="R10" s="17"/>
      <c r="S10" s="14"/>
      <c r="T10" s="14"/>
      <c r="U10" s="14"/>
    </row>
    <row r="11" ht="21.75" customHeight="1">
      <c r="A11" s="18">
        <v>8.0</v>
      </c>
      <c r="B11" s="19" t="s">
        <v>35</v>
      </c>
      <c r="C11" s="18">
        <v>1.0</v>
      </c>
      <c r="D11" s="18" t="s">
        <v>31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20"/>
      <c r="P11" s="14"/>
      <c r="Q11" s="14"/>
      <c r="R11" s="14"/>
      <c r="S11" s="14"/>
      <c r="T11" s="14"/>
      <c r="U11" s="14"/>
    </row>
    <row r="12" ht="21.75" customHeight="1">
      <c r="A12" s="18">
        <v>9.0</v>
      </c>
      <c r="B12" s="19" t="s">
        <v>36</v>
      </c>
      <c r="C12" s="18">
        <v>2.0</v>
      </c>
      <c r="D12" s="18" t="s">
        <v>31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20"/>
      <c r="R12" s="20"/>
      <c r="S12" s="14"/>
      <c r="T12" s="14"/>
      <c r="U12" s="14"/>
    </row>
    <row r="13" ht="21.75" customHeight="1">
      <c r="A13" s="21">
        <v>10.0</v>
      </c>
      <c r="B13" s="22" t="s">
        <v>37</v>
      </c>
      <c r="C13" s="21">
        <v>1.0</v>
      </c>
      <c r="D13" s="21" t="s">
        <v>38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3"/>
      <c r="U13" s="23"/>
    </row>
    <row r="14" ht="19.5" customHeight="1">
      <c r="A14" s="24" t="s">
        <v>39</v>
      </c>
      <c r="B14" s="3"/>
      <c r="C14" s="25">
        <f>SUM(C4:C13)</f>
        <v>20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6">
      <c r="A16" s="27" t="s">
        <v>40</v>
      </c>
      <c r="B16" s="28" t="s">
        <v>24</v>
      </c>
      <c r="C16" s="29" t="s">
        <v>27</v>
      </c>
      <c r="D16" s="30" t="s">
        <v>29</v>
      </c>
      <c r="E16" s="31" t="s">
        <v>31</v>
      </c>
      <c r="F16" s="3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U1"/>
    <mergeCell ref="A2:U2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7.0"/>
    <col customWidth="1" min="4" max="4" width="14.0"/>
    <col customWidth="1" min="5" max="21" width="9.0"/>
    <col customWidth="1" min="22" max="26" width="8.71"/>
  </cols>
  <sheetData>
    <row r="1" ht="15.75" customHeight="1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5.0" customHeight="1">
      <c r="A2" s="4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39.75" customHeight="1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</row>
    <row r="4" ht="21.75" customHeight="1">
      <c r="A4" s="11">
        <v>1.0</v>
      </c>
      <c r="B4" s="33" t="s">
        <v>43</v>
      </c>
      <c r="C4" s="11">
        <v>1.0</v>
      </c>
      <c r="D4" s="34" t="s">
        <v>44</v>
      </c>
      <c r="E4" s="35" t="s">
        <v>45</v>
      </c>
      <c r="F4" s="35" t="s">
        <v>45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ht="21.75" customHeight="1">
      <c r="A5" s="11">
        <v>2.0</v>
      </c>
      <c r="B5" s="12" t="s">
        <v>46</v>
      </c>
      <c r="C5" s="11">
        <v>1.0</v>
      </c>
      <c r="D5" s="34" t="s">
        <v>44</v>
      </c>
      <c r="E5" s="14"/>
      <c r="F5" s="35" t="s">
        <v>45</v>
      </c>
      <c r="G5" s="35" t="s">
        <v>45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ht="21.75" customHeight="1">
      <c r="A6" s="7">
        <v>3.0</v>
      </c>
      <c r="B6" s="36" t="s">
        <v>47</v>
      </c>
      <c r="C6" s="7">
        <v>1.0</v>
      </c>
      <c r="D6" s="37" t="s">
        <v>48</v>
      </c>
      <c r="E6" s="14"/>
      <c r="F6" s="14"/>
      <c r="G6" s="38" t="s">
        <v>45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ht="21.75" customHeight="1">
      <c r="A7" s="7">
        <v>4.0</v>
      </c>
      <c r="B7" s="36" t="s">
        <v>49</v>
      </c>
      <c r="C7" s="7">
        <v>2.0</v>
      </c>
      <c r="D7" s="37" t="s">
        <v>48</v>
      </c>
      <c r="E7" s="14"/>
      <c r="F7" s="14"/>
      <c r="G7" s="38" t="s">
        <v>45</v>
      </c>
      <c r="H7" s="38" t="s">
        <v>45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ht="21.75" customHeight="1">
      <c r="A8" s="18">
        <v>5.0</v>
      </c>
      <c r="B8" s="39" t="s">
        <v>50</v>
      </c>
      <c r="C8" s="18">
        <v>3.0</v>
      </c>
      <c r="D8" s="40" t="s">
        <v>51</v>
      </c>
      <c r="E8" s="14"/>
      <c r="F8" s="14"/>
      <c r="G8" s="14"/>
      <c r="H8" s="41" t="s">
        <v>45</v>
      </c>
      <c r="I8" s="41" t="s">
        <v>45</v>
      </c>
      <c r="J8" s="41" t="s">
        <v>45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ht="21.75" customHeight="1">
      <c r="A9" s="18">
        <v>6.0</v>
      </c>
      <c r="B9" s="19" t="s">
        <v>52</v>
      </c>
      <c r="C9" s="18">
        <v>2.0</v>
      </c>
      <c r="D9" s="40" t="s">
        <v>51</v>
      </c>
      <c r="E9" s="14"/>
      <c r="F9" s="14"/>
      <c r="G9" s="14"/>
      <c r="H9" s="14"/>
      <c r="I9" s="41" t="s">
        <v>45</v>
      </c>
      <c r="J9" s="41" t="s">
        <v>45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ht="21.75" customHeight="1">
      <c r="A10" s="18">
        <v>7.0</v>
      </c>
      <c r="B10" s="19" t="s">
        <v>53</v>
      </c>
      <c r="C10" s="18">
        <v>1.0</v>
      </c>
      <c r="D10" s="40" t="s">
        <v>51</v>
      </c>
      <c r="E10" s="14"/>
      <c r="F10" s="14"/>
      <c r="G10" s="14"/>
      <c r="H10" s="14"/>
      <c r="I10" s="14"/>
      <c r="J10" s="41" t="s">
        <v>45</v>
      </c>
      <c r="K10" s="41" t="s">
        <v>45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ht="21.75" customHeight="1">
      <c r="A11" s="15">
        <v>8.0</v>
      </c>
      <c r="B11" s="42" t="s">
        <v>54</v>
      </c>
      <c r="C11" s="15">
        <v>3.0</v>
      </c>
      <c r="D11" s="43" t="s">
        <v>55</v>
      </c>
      <c r="E11" s="14"/>
      <c r="F11" s="14"/>
      <c r="G11" s="14"/>
      <c r="H11" s="14"/>
      <c r="I11" s="14"/>
      <c r="J11" s="14"/>
      <c r="K11" s="44" t="s">
        <v>45</v>
      </c>
      <c r="L11" s="44" t="s">
        <v>45</v>
      </c>
      <c r="M11" s="44" t="s">
        <v>45</v>
      </c>
      <c r="N11" s="14"/>
      <c r="O11" s="14"/>
      <c r="P11" s="14"/>
      <c r="Q11" s="14"/>
      <c r="R11" s="14"/>
      <c r="S11" s="14"/>
      <c r="T11" s="14"/>
      <c r="U11" s="14"/>
    </row>
    <row r="12" ht="21.75" customHeight="1">
      <c r="A12" s="15">
        <v>9.0</v>
      </c>
      <c r="B12" s="16" t="s">
        <v>56</v>
      </c>
      <c r="C12" s="15">
        <v>2.0</v>
      </c>
      <c r="D12" s="43" t="s">
        <v>55</v>
      </c>
      <c r="E12" s="14"/>
      <c r="F12" s="14"/>
      <c r="G12" s="14"/>
      <c r="H12" s="14"/>
      <c r="I12" s="14"/>
      <c r="J12" s="14"/>
      <c r="K12" s="14"/>
      <c r="L12" s="44" t="s">
        <v>45</v>
      </c>
      <c r="M12" s="44" t="s">
        <v>45</v>
      </c>
      <c r="N12" s="14"/>
      <c r="O12" s="14"/>
      <c r="P12" s="14"/>
      <c r="Q12" s="14"/>
      <c r="R12" s="14"/>
      <c r="S12" s="14"/>
      <c r="T12" s="14"/>
      <c r="U12" s="14"/>
    </row>
    <row r="13" ht="21.75" customHeight="1">
      <c r="A13" s="15">
        <v>10.0</v>
      </c>
      <c r="B13" s="16" t="s">
        <v>57</v>
      </c>
      <c r="C13" s="15">
        <v>1.0</v>
      </c>
      <c r="D13" s="43" t="s">
        <v>55</v>
      </c>
      <c r="E13" s="14"/>
      <c r="F13" s="14"/>
      <c r="G13" s="14"/>
      <c r="H13" s="14"/>
      <c r="I13" s="14"/>
      <c r="J13" s="14"/>
      <c r="K13" s="14"/>
      <c r="L13" s="14"/>
      <c r="M13" s="44" t="s">
        <v>45</v>
      </c>
      <c r="N13" s="44" t="s">
        <v>45</v>
      </c>
      <c r="O13" s="14"/>
      <c r="P13" s="14"/>
      <c r="Q13" s="14"/>
      <c r="R13" s="14"/>
      <c r="S13" s="14"/>
      <c r="T13" s="14"/>
      <c r="U13" s="14"/>
    </row>
    <row r="14" ht="21.75" customHeight="1">
      <c r="A14" s="45">
        <v>11.0</v>
      </c>
      <c r="B14" s="46" t="s">
        <v>58</v>
      </c>
      <c r="C14" s="45">
        <v>2.0</v>
      </c>
      <c r="D14" s="47" t="s">
        <v>59</v>
      </c>
      <c r="E14" s="14"/>
      <c r="F14" s="14"/>
      <c r="G14" s="14"/>
      <c r="H14" s="14"/>
      <c r="I14" s="14"/>
      <c r="J14" s="14"/>
      <c r="K14" s="14"/>
      <c r="L14" s="14"/>
      <c r="M14" s="14"/>
      <c r="N14" s="48" t="s">
        <v>45</v>
      </c>
      <c r="O14" s="48" t="s">
        <v>45</v>
      </c>
      <c r="P14" s="14"/>
      <c r="Q14" s="14"/>
      <c r="R14" s="14"/>
      <c r="S14" s="14"/>
      <c r="T14" s="14"/>
      <c r="U14" s="14"/>
    </row>
    <row r="15" ht="21.75" customHeight="1">
      <c r="A15" s="45">
        <v>12.0</v>
      </c>
      <c r="B15" s="49" t="s">
        <v>60</v>
      </c>
      <c r="C15" s="45">
        <v>2.0</v>
      </c>
      <c r="D15" s="47" t="s">
        <v>59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48" t="s">
        <v>45</v>
      </c>
      <c r="P15" s="48" t="s">
        <v>45</v>
      </c>
      <c r="Q15" s="14"/>
      <c r="R15" s="14"/>
      <c r="S15" s="14"/>
      <c r="T15" s="14"/>
      <c r="U15" s="14"/>
    </row>
    <row r="16" ht="21.75" customHeight="1">
      <c r="A16" s="50">
        <v>13.0</v>
      </c>
      <c r="B16" s="51" t="s">
        <v>61</v>
      </c>
      <c r="C16" s="50">
        <v>2.0</v>
      </c>
      <c r="D16" s="52" t="s">
        <v>62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53" t="s">
        <v>45</v>
      </c>
      <c r="Q16" s="53" t="s">
        <v>45</v>
      </c>
      <c r="R16" s="14"/>
      <c r="S16" s="14"/>
      <c r="T16" s="14"/>
      <c r="U16" s="14"/>
    </row>
    <row r="17" ht="21.75" customHeight="1">
      <c r="A17" s="50">
        <v>14.0</v>
      </c>
      <c r="B17" s="51" t="s">
        <v>63</v>
      </c>
      <c r="C17" s="50">
        <v>2.0</v>
      </c>
      <c r="D17" s="52" t="s">
        <v>62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53" t="s">
        <v>45</v>
      </c>
      <c r="R17" s="53" t="s">
        <v>45</v>
      </c>
      <c r="S17" s="14"/>
      <c r="T17" s="14"/>
      <c r="U17" s="14"/>
    </row>
    <row r="18" ht="21.75" customHeight="1">
      <c r="A18" s="54">
        <v>15.0</v>
      </c>
      <c r="B18" s="55" t="s">
        <v>64</v>
      </c>
      <c r="C18" s="54">
        <v>2.0</v>
      </c>
      <c r="D18" s="56" t="s">
        <v>65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57" t="s">
        <v>45</v>
      </c>
      <c r="S18" s="57" t="s">
        <v>45</v>
      </c>
      <c r="T18" s="14"/>
      <c r="U18" s="14"/>
    </row>
    <row r="19" ht="21.75" customHeight="1">
      <c r="A19" s="54">
        <v>16.0</v>
      </c>
      <c r="B19" s="58" t="s">
        <v>66</v>
      </c>
      <c r="C19" s="54">
        <v>1.0</v>
      </c>
      <c r="D19" s="56" t="s">
        <v>65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57" t="s">
        <v>45</v>
      </c>
      <c r="T19" s="14"/>
      <c r="U19" s="14"/>
    </row>
    <row r="20" ht="21.75" customHeight="1">
      <c r="A20" s="21">
        <v>17.0</v>
      </c>
      <c r="B20" s="22" t="s">
        <v>67</v>
      </c>
      <c r="C20" s="21">
        <v>2.0</v>
      </c>
      <c r="D20" s="59" t="s">
        <v>68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60" t="s">
        <v>45</v>
      </c>
      <c r="T20" s="60" t="s">
        <v>45</v>
      </c>
      <c r="U20" s="14"/>
    </row>
    <row r="21" ht="21.75" customHeight="1">
      <c r="A21" s="21">
        <v>18.0</v>
      </c>
      <c r="B21" s="22" t="s">
        <v>69</v>
      </c>
      <c r="C21" s="21">
        <v>1.0</v>
      </c>
      <c r="D21" s="59" t="s">
        <v>68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60" t="s">
        <v>45</v>
      </c>
      <c r="U21" s="14"/>
    </row>
    <row r="22" ht="21.75" customHeight="1">
      <c r="A22" s="61">
        <v>19.0</v>
      </c>
      <c r="B22" s="62" t="s">
        <v>70</v>
      </c>
      <c r="C22" s="61">
        <v>3.0</v>
      </c>
      <c r="D22" s="63" t="s">
        <v>71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64" t="s">
        <v>45</v>
      </c>
      <c r="U22" s="64" t="s">
        <v>45</v>
      </c>
    </row>
    <row r="23" ht="21.75" customHeight="1">
      <c r="A23" s="61">
        <v>20.0</v>
      </c>
      <c r="B23" s="65" t="s">
        <v>72</v>
      </c>
      <c r="C23" s="61">
        <v>2.0</v>
      </c>
      <c r="D23" s="63" t="s">
        <v>71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64" t="s">
        <v>45</v>
      </c>
    </row>
    <row r="24" ht="21.75" customHeight="1">
      <c r="A24" s="66">
        <v>21.0</v>
      </c>
      <c r="B24" s="67" t="s">
        <v>73</v>
      </c>
      <c r="C24" s="66">
        <v>2.0</v>
      </c>
      <c r="D24" s="68" t="s">
        <v>38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69" t="s">
        <v>45</v>
      </c>
    </row>
    <row r="25" ht="21.75" customHeight="1">
      <c r="A25" s="66">
        <v>22.0</v>
      </c>
      <c r="B25" s="67" t="s">
        <v>74</v>
      </c>
      <c r="C25" s="66">
        <v>1.0</v>
      </c>
      <c r="D25" s="68" t="s">
        <v>38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69" t="s">
        <v>45</v>
      </c>
    </row>
    <row r="26" ht="19.5" customHeight="1">
      <c r="A26" s="24" t="s">
        <v>75</v>
      </c>
      <c r="B26" s="3"/>
      <c r="C26" s="25">
        <f>SUM(C4:C25)</f>
        <v>39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ht="15.75" customHeight="1"/>
    <row r="28" ht="15.75" customHeight="1">
      <c r="A28" s="27" t="s">
        <v>76</v>
      </c>
      <c r="B28" s="29" t="s">
        <v>44</v>
      </c>
      <c r="C28" s="28" t="s">
        <v>48</v>
      </c>
      <c r="D28" s="31" t="s">
        <v>51</v>
      </c>
      <c r="E28" s="30" t="s">
        <v>55</v>
      </c>
      <c r="F28" s="70" t="s">
        <v>59</v>
      </c>
      <c r="G28" s="71" t="s">
        <v>62</v>
      </c>
    </row>
    <row r="29" ht="15.75" customHeight="1">
      <c r="B29" s="72" t="s">
        <v>65</v>
      </c>
      <c r="C29" s="32" t="s">
        <v>68</v>
      </c>
      <c r="D29" s="73" t="s">
        <v>71</v>
      </c>
      <c r="E29" s="74" t="s">
        <v>38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U1"/>
    <mergeCell ref="A2:U2"/>
    <mergeCell ref="A26:B2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18.0"/>
    <col customWidth="1" min="4" max="4" width="22.0"/>
    <col customWidth="1" min="5" max="5" width="40.0"/>
    <col customWidth="1" min="6" max="6" width="30.0"/>
    <col customWidth="1" min="7" max="26" width="8.71"/>
  </cols>
  <sheetData>
    <row r="1" ht="15.75" customHeight="1">
      <c r="A1" s="1" t="s">
        <v>77</v>
      </c>
      <c r="B1" s="2"/>
      <c r="C1" s="2"/>
      <c r="D1" s="2"/>
      <c r="E1" s="2"/>
      <c r="F1" s="3"/>
    </row>
    <row r="3" ht="27.75" customHeight="1"/>
    <row r="4" ht="27.75" customHeight="1">
      <c r="A4" s="75" t="s">
        <v>78</v>
      </c>
      <c r="B4" s="75" t="s">
        <v>79</v>
      </c>
      <c r="C4" s="75" t="s">
        <v>80</v>
      </c>
      <c r="D4" s="75" t="s">
        <v>81</v>
      </c>
      <c r="E4" s="75" t="s">
        <v>82</v>
      </c>
      <c r="F4" s="75" t="s">
        <v>83</v>
      </c>
    </row>
    <row r="5" ht="27.75" customHeight="1">
      <c r="A5" s="19" t="s">
        <v>84</v>
      </c>
      <c r="B5" s="19" t="s">
        <v>85</v>
      </c>
      <c r="C5" s="19" t="s">
        <v>86</v>
      </c>
      <c r="D5" s="39" t="s">
        <v>87</v>
      </c>
      <c r="E5" s="19" t="s">
        <v>88</v>
      </c>
      <c r="F5" s="19" t="s">
        <v>89</v>
      </c>
    </row>
    <row r="6" ht="27.75" customHeight="1">
      <c r="A6" s="36" t="s">
        <v>90</v>
      </c>
      <c r="B6" s="36" t="s">
        <v>91</v>
      </c>
      <c r="C6" s="36" t="s">
        <v>92</v>
      </c>
      <c r="D6" s="8" t="s">
        <v>87</v>
      </c>
      <c r="E6" s="36" t="s">
        <v>93</v>
      </c>
      <c r="F6" s="36" t="s">
        <v>94</v>
      </c>
    </row>
    <row r="7" ht="27.75" customHeight="1"/>
    <row r="8" ht="27.75" customHeight="1">
      <c r="A8" s="44" t="s">
        <v>95</v>
      </c>
      <c r="B8" s="44"/>
      <c r="C8" s="44" t="s">
        <v>96</v>
      </c>
      <c r="D8" s="76" t="s">
        <v>87</v>
      </c>
      <c r="E8" s="44"/>
      <c r="F8" s="44"/>
    </row>
    <row r="11" ht="21.75" customHeight="1">
      <c r="A11" s="77" t="s">
        <v>97</v>
      </c>
      <c r="B11" s="2"/>
      <c r="C11" s="2"/>
      <c r="D11" s="2"/>
      <c r="E11" s="2"/>
      <c r="F11" s="3"/>
    </row>
    <row r="12">
      <c r="A12" s="78" t="s">
        <v>98</v>
      </c>
      <c r="B12" s="78" t="s">
        <v>99</v>
      </c>
      <c r="C12" s="78" t="s">
        <v>100</v>
      </c>
      <c r="D12" s="78" t="s">
        <v>101</v>
      </c>
    </row>
    <row r="13" ht="19.5" customHeight="1">
      <c r="A13" s="79" t="s">
        <v>102</v>
      </c>
      <c r="B13" s="80" t="s">
        <v>103</v>
      </c>
      <c r="C13" s="81" t="s">
        <v>104</v>
      </c>
      <c r="D13" s="80" t="s">
        <v>105</v>
      </c>
    </row>
    <row r="14" ht="19.5" customHeight="1">
      <c r="A14" s="82" t="s">
        <v>106</v>
      </c>
      <c r="B14" s="83" t="s">
        <v>107</v>
      </c>
      <c r="C14" s="83" t="s">
        <v>108</v>
      </c>
      <c r="D14" s="82" t="s">
        <v>109</v>
      </c>
    </row>
    <row r="15" ht="19.5" customHeight="1">
      <c r="A15" s="79" t="s">
        <v>110</v>
      </c>
      <c r="B15" s="80" t="s">
        <v>111</v>
      </c>
      <c r="C15" s="80" t="s">
        <v>112</v>
      </c>
      <c r="D15" s="80" t="s">
        <v>113</v>
      </c>
    </row>
    <row r="16" ht="19.5" customHeight="1">
      <c r="A16" s="82" t="s">
        <v>114</v>
      </c>
      <c r="B16" s="83" t="s">
        <v>115</v>
      </c>
      <c r="C16" s="83" t="s">
        <v>112</v>
      </c>
      <c r="D16" s="82" t="s">
        <v>116</v>
      </c>
    </row>
    <row r="17" ht="19.5" customHeight="1">
      <c r="A17" s="79" t="s">
        <v>117</v>
      </c>
      <c r="B17" s="80" t="s">
        <v>118</v>
      </c>
      <c r="C17" s="80" t="s">
        <v>108</v>
      </c>
      <c r="D17" s="79" t="s">
        <v>116</v>
      </c>
    </row>
    <row r="18" ht="19.5" customHeight="1">
      <c r="A18" s="82" t="s">
        <v>119</v>
      </c>
      <c r="B18" s="83" t="s">
        <v>120</v>
      </c>
      <c r="C18" s="83" t="s">
        <v>108</v>
      </c>
      <c r="D18" s="83" t="s">
        <v>121</v>
      </c>
    </row>
    <row r="19" ht="19.5" customHeight="1">
      <c r="A19" s="79" t="s">
        <v>122</v>
      </c>
      <c r="B19" s="80" t="s">
        <v>123</v>
      </c>
      <c r="C19" s="80" t="s">
        <v>108</v>
      </c>
      <c r="D19" s="79" t="s">
        <v>124</v>
      </c>
    </row>
    <row r="20" ht="19.5" customHeight="1">
      <c r="A20" s="82" t="s">
        <v>125</v>
      </c>
      <c r="B20" s="83" t="s">
        <v>126</v>
      </c>
      <c r="C20" s="83" t="s">
        <v>108</v>
      </c>
      <c r="D20" s="83" t="s">
        <v>127</v>
      </c>
    </row>
    <row r="21" ht="19.5" customHeight="1">
      <c r="A21" s="79" t="s">
        <v>128</v>
      </c>
      <c r="B21" s="80" t="s">
        <v>129</v>
      </c>
      <c r="C21" s="80" t="s">
        <v>108</v>
      </c>
      <c r="D21" s="80" t="s">
        <v>127</v>
      </c>
    </row>
    <row r="22" ht="19.5" customHeight="1">
      <c r="A22" s="83" t="s">
        <v>130</v>
      </c>
      <c r="B22" s="83" t="s">
        <v>131</v>
      </c>
      <c r="C22" s="81" t="s">
        <v>104</v>
      </c>
      <c r="D22" s="83" t="s">
        <v>132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1:F11"/>
  </mergeCells>
  <printOptions/>
  <pageMargins bottom="1.0" footer="0.0" header="0.0" left="0.75" right="0.75" top="1.0"/>
  <pageSetup paperSize="9" orientation="portrait"/>
  <drawing r:id="rId1"/>
</worksheet>
</file>